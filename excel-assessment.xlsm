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46411EA8-594E-4928-8D3F-1D72D3EE905E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F30" i="18"/>
  <c r="C30" i="18"/>
  <c r="D30" i="18"/>
  <c r="E30" i="18"/>
  <c r="E29" i="18"/>
  <c r="F29" i="18"/>
  <c r="C29" i="18"/>
  <c r="D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24" i="18"/>
  <c r="E25" i="18"/>
  <c r="E2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6" i="18"/>
  <c r="B6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3" i="1"/>
  <c r="Y4" i="1"/>
  <c r="Y5" i="1"/>
  <c r="Y6" i="1"/>
  <c r="Y7" i="1"/>
  <c r="Y8" i="1"/>
  <c r="Y9" i="1"/>
  <c r="Y10" i="1"/>
  <c r="Y2" i="1"/>
  <c r="H42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<sst xmlns="http://schemas.openxmlformats.org/spreadsheetml/2006/main" count="406" uniqueCount="183">
  <si>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</si>
  <si>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</si>
  <si>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</si>
  <si>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</si>
  <si>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</si>
  <si>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</si>
  <si>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</si>
  <si>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</si>
  <si>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</si>
  <si>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</si>
  <si>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</si>
  <si>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</si>
  <si>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</si>
  <si>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</si>
  <si>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</si>
  <si>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</si>
  <si>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</si>
  <si>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</si>
  <si>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</si>
  <si>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</si>
  <si>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</si>
  <si>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</si>
  <si>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</si>
  <si>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</si>
  <si>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</si>
  <si>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</si>
  <si>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</si>
  <si>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</si>
  <si>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</si>
  <si>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</si>
  <si>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</si>
  <si>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</si>
  <si>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</si>
  <si>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</si>
  <si>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</si>
  <si>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</si>
  <si>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</si>
  <si>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</si>
  <si>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</si>
  <si>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</si>
  <si>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</si>
  <si>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</si>
  <si>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</si>
  <si>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</si>
  <si>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</si>
  <si>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</si>
  <si>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</si>
  <si>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</si>
  <si>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</si>
  <si>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</si>
  <si>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</si>
  <si>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</si>
  <si>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</si>
  <si>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</si>
  <si>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</si>
  <si>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</si>
  <si>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</si>
  <si>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</si>
  <si>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</si>
  <si>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</si>
  <si>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</si>
  <si>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</si>
  <si>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</si>
  <si>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</si>
  <si>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</si>
  <si>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</si>
  <si>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</si>
  <si>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</si>
  <si>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</si>
  <si>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</si>
  <si>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</si>
  <si>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</si>
  <si>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</si>
  <si>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</si>
  <si>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</si>
  <si>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</si>
  <si>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</si>
  <si>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</si>
  <si>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</si>
  <si>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</si>
  <si>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</si>
  <si>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</si>
  <si>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</si>
  <si>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</si>
  <si>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</si>
  <si>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</si>
  <si>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</si>
  <si>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</si>
  <si>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</si>
  <si>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</si>
  <si>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</si>
  <si>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</si>
  <si>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</si>
  <si>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</si>
  <si>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</si>
  <si>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</si>
  <si>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</si>
  <si>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</si>
  <si>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</si>
  <si>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</si>
  <si>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</si>
  <si>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</si>
  <si>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</si>
  <si>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</si>
  <si>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</si>
  <si>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</si>
  <si>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</si>
  <si>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</si>
  <si>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</si>
  <si>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</si>
  <si>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</si>
  <si>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</si>
  <si>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</si>
  <si>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</si>
  <si>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</si>
  <si>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</si>
  <si>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</si>
  <si>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</si>
  <si>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</si>
  <si>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</si>
  <si>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</si>
  <si>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</si>
  <si>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</si>
  <si>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</si>
  <si>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</si>
  <si>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</si>
  <si>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</si>
  <si>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</si>
  <si>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</si>
  <si>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</si>
  <si>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</si>
  <si>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</si>
  <si>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</si>
  <si>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</si>
  <si>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</si>
  <si>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</si>
  <si>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</si>
  <si>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</si>
  <si>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</si>
  <si>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</si>
  <si>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</si>
  <si>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</si>
  <si>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</si>
  <si>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</si>
  <si>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</si>
  <si>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</si>
  <si>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</si>
  <si>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</si>
  <si>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</si>
  <si>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</si>
  <si>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</si>
  <si>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</si>
  <si>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</si>
  <si>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</si>
  <si>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</si>
  <si>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</si>
  <si>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</si>
  <si>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</si>
  <si>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</si>
  <si>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</si>
  <si>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</si>
  <si>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</si>
  <si>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</si>
  <si>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</si>
  <si>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</si>
  <si>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</si>
  <si>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</si>
  <si>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</si>
  <si>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</si>
  <si>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</si>
  <si>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</si>
  <si>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</si>
  <si>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</si>
  <si>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</si>
  <si>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</si>
  <si>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</si>
  <si>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</si>
  <si>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</si>
  <si>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sum=</t>
  </si>
  <si>
    <t>dates</t>
  </si>
  <si>
    <t>Select the Column with Comma-Separated Values and go to the "Data" Tab then select Text to columns and choose the Delimited the select Delimited click next then choose data format then click finish.</t>
  </si>
  <si>
    <t xml:space="preserve">Select all data then press ctrl+f then choose replace #N/A to 20 then select replace all </t>
  </si>
  <si>
    <t>#=SUM(C11:C21)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</si>
</sst>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Alignment="1">
      <alignment horizontal="center"/>
    </xf>
    <xf numFmtId="0" fontId="18" fillId="0" borderId="0" xfId="0" applyFont="1"/>
    <xf numFmtId="165" fontId="8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7" t="s">
        <v>172</v>
      </c>
      <c r="B9" s="26" t="s">
        <v>170</v>
      </c>
    </row>
    <row r="10" spans="1:3" x14ac:dyDescent="0.3">
      <c r="A10" s="36" t="s">
        <v>173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2"/>
  <sheetViews>
    <sheetView zoomScaleNormal="100" workbookViewId="0">
      <pane ySplit="1" topLeftCell="A2" activePane="bottomLeft" state="frozen"/>
      <selection pane="bottomLeft" activeCell="F16" sqref="F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0.33203125" style="1" bestFit="1" customWidth="1"/>
    <col min="26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  <c r="Y1" s="3" t="s">
        <v>179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 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 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  <row r="41" spans="1:25" x14ac:dyDescent="0.3">
      <c r="H41" s="47" t="s">
        <v>178</v>
      </c>
    </row>
    <row r="42" spans="1:25" x14ac:dyDescent="0.3">
      <c r="H42" s="1">
        <f>SUMIFS(H2:H40, H2:H40, "&gt;20")</f>
        <v>1473.0000000000002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A1:XFD1048576">
    <cfRule type="cellIs" dxfId="3" priority="2" operator="equal">
      <formula>-1</formula>
    </cfRule>
  </conditionalFormatting>
  <conditionalFormatting sqref="A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165</v>
      </c>
    </row>
    <row r="2" spans="1:7" s="42" customFormat="1" ht="21" x14ac:dyDescent="0.4">
      <c r="B2" s="42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VLOOKUP(A6,Dataset!$A$2:$G$40,7,0)</f>
        <v>2.7</v>
      </c>
      <c r="C6" s="12">
        <f>VLOOKUP(A6,Dataset!$A$1:$Y$40,14,0)</f>
        <v>7.6</v>
      </c>
      <c r="D6" s="12">
        <f>VLOOKUP(A6,Dataset!$A$1:$Y$40,18,0)</f>
        <v>4.2</v>
      </c>
      <c r="E6" s="12">
        <f>VLOOKUP(A6,Dataset!$A$1:$Y$40,20,0)</f>
        <v>8.9</v>
      </c>
      <c r="F6" s="8">
        <f>VLOOKUP(A6,Dataset!$A$1:$Y$40,22,0)</f>
        <v>4.2</v>
      </c>
    </row>
    <row r="7" spans="1:7" ht="14.4" x14ac:dyDescent="0.3">
      <c r="A7" s="7" t="s">
        <v>4</v>
      </c>
      <c r="B7" s="12">
        <f>VLOOKUP(A7,Dataset!$A$2:$G$40,7,0)</f>
        <v>2.7</v>
      </c>
      <c r="C7" s="12">
        <f>VLOOKUP(A7,Dataset!$A$1:$Y$40,14,0)</f>
        <v>7.6</v>
      </c>
      <c r="D7" s="12">
        <f>VLOOKUP(A7,Dataset!$A$1:$Y$40,18,0)</f>
        <v>4.2</v>
      </c>
      <c r="E7" s="12">
        <f>VLOOKUP(A7,Dataset!$A$1:$Y$40,20,0)</f>
        <v>8.9</v>
      </c>
      <c r="F7" s="8">
        <f>VLOOKUP(A7,Dataset!$A$1:$Y$40,22,0)</f>
        <v>4.2</v>
      </c>
    </row>
    <row r="8" spans="1:7" ht="14.4" x14ac:dyDescent="0.3">
      <c r="A8" s="7" t="s">
        <v>7</v>
      </c>
      <c r="B8" s="12">
        <f>VLOOKUP(A8,Dataset!$A$2:$G$40,7,0)</f>
        <v>3.6</v>
      </c>
      <c r="C8" s="12">
        <f>VLOOKUP(A8,Dataset!$A$1:$Y$40,14,0)</f>
        <v>11.1</v>
      </c>
      <c r="D8" s="12">
        <f>VLOOKUP(A8,Dataset!$A$1:$Y$40,18,0)</f>
        <v>5.8</v>
      </c>
      <c r="E8" s="12">
        <f>VLOOKUP(A8,Dataset!$A$1:$Y$40,20,0)</f>
        <v>12.2</v>
      </c>
      <c r="F8" s="8">
        <f>VLOOKUP(A8,Dataset!$A$1:$Y$40,22,0)</f>
        <v>5.8</v>
      </c>
    </row>
    <row r="9" spans="1:7" ht="14.4" x14ac:dyDescent="0.3">
      <c r="A9" s="7" t="s">
        <v>8</v>
      </c>
      <c r="B9" s="12">
        <f>VLOOKUP(A9,Dataset!$A$2:$G$40,7,0)</f>
        <v>4.9000000000000004</v>
      </c>
      <c r="C9" s="12">
        <f>VLOOKUP(A9,Dataset!$A$1:$Y$40,14,0)</f>
        <v>13.3</v>
      </c>
      <c r="D9" s="12">
        <f>VLOOKUP(A9,Dataset!$A$1:$Y$40,18,0)</f>
        <v>8.1</v>
      </c>
      <c r="E9" s="12">
        <f>VLOOKUP(A9,Dataset!$A$1:$Y$40,20,0)</f>
        <v>17</v>
      </c>
      <c r="F9" s="8">
        <f>VLOOKUP(A9,Dataset!$A$1:$Y$40,22,0)</f>
        <v>8.1</v>
      </c>
    </row>
    <row r="10" spans="1:7" ht="14.4" x14ac:dyDescent="0.3">
      <c r="A10" s="7" t="s">
        <v>11</v>
      </c>
      <c r="B10" s="12">
        <f>VLOOKUP(A10,Dataset!$A$2:$G$40,7,0)</f>
        <v>9.4</v>
      </c>
      <c r="C10" s="12">
        <f>VLOOKUP(A10,Dataset!$A$1:$Y$40,14,0)</f>
        <v>28.3</v>
      </c>
      <c r="D10" s="12">
        <f>VLOOKUP(A10,Dataset!$A$1:$Y$40,18,0)</f>
        <v>16.100000000000001</v>
      </c>
      <c r="E10" s="12">
        <f>VLOOKUP(A10,Dataset!$A$1:$Y$40,20,0)</f>
        <v>32.799999999999997</v>
      </c>
      <c r="F10" s="8">
        <f>VLOOKUP(A10,Dataset!$A$1:$Y$40,22,0)</f>
        <v>16.100000000000001</v>
      </c>
    </row>
    <row r="11" spans="1:7" ht="14.4" x14ac:dyDescent="0.3">
      <c r="A11" s="7" t="s">
        <v>12</v>
      </c>
      <c r="B11" s="12">
        <f>VLOOKUP(A11,Dataset!$A$2:$G$40,7,0)</f>
        <v>11.6</v>
      </c>
      <c r="C11" s="12">
        <f>VLOOKUP(A11,Dataset!$A$1:$Y$40,14,0)</f>
        <v>35.200000000000003</v>
      </c>
      <c r="D11" s="12">
        <f>VLOOKUP(A11,Dataset!$A$1:$Y$40,18,0)</f>
        <v>21.3</v>
      </c>
      <c r="E11" s="12">
        <f>VLOOKUP(A11,Dataset!$A$1:$Y$40,20,0)</f>
        <v>43</v>
      </c>
      <c r="F11" s="8">
        <f>VLOOKUP(A11,Dataset!$A$1:$Y$40,22,0)</f>
        <v>21.3</v>
      </c>
    </row>
    <row r="12" spans="1:7" ht="14.4" x14ac:dyDescent="0.3">
      <c r="A12" s="7" t="s">
        <v>14</v>
      </c>
      <c r="B12" s="12">
        <f>VLOOKUP(A12,Dataset!$A$2:$G$40,7,0)</f>
        <v>18.399999999999999</v>
      </c>
      <c r="C12" s="12">
        <f>VLOOKUP(A12,Dataset!$A$1:$Y$40,14,0)</f>
        <v>55.6</v>
      </c>
      <c r="D12" s="12">
        <f>VLOOKUP(A12,Dataset!$A$1:$Y$40,18,0)</f>
        <v>33.799999999999997</v>
      </c>
      <c r="E12" s="12">
        <f>VLOOKUP(A12,Dataset!$A$1:$Y$40,20,0)</f>
        <v>67.900000000000006</v>
      </c>
      <c r="F12" s="8">
        <f>VLOOKUP(A12,Dataset!$A$1:$Y$40,22,0)</f>
        <v>33.799999999999997</v>
      </c>
    </row>
    <row r="13" spans="1:7" ht="14.4" x14ac:dyDescent="0.3">
      <c r="A13" s="7" t="s">
        <v>15</v>
      </c>
      <c r="B13" s="12">
        <f>VLOOKUP(A13,Dataset!$A$2:$G$40,7,0)</f>
        <v>0</v>
      </c>
      <c r="C13" s="12">
        <f>VLOOKUP(A13,Dataset!$A$1:$Y$40,14,0)</f>
        <v>0</v>
      </c>
      <c r="D13" s="12">
        <f>VLOOKUP(A13,Dataset!$A$1:$Y$40,18,0)</f>
        <v>0</v>
      </c>
      <c r="E13" s="12">
        <f>VLOOKUP(A13,Dataset!$A$1:$Y$40,20,0)</f>
        <v>0</v>
      </c>
      <c r="F13" s="8">
        <f>VLOOKUP(A13,Dataset!$A$1:$Y$40,22,0)</f>
        <v>0</v>
      </c>
    </row>
    <row r="14" spans="1:7" ht="14.4" x14ac:dyDescent="0.3">
      <c r="A14" s="7" t="s">
        <v>16</v>
      </c>
      <c r="B14" s="12">
        <f>VLOOKUP(A14,Dataset!$A$2:$G$40,7,0)</f>
        <v>21.9</v>
      </c>
      <c r="C14" s="12">
        <f>VLOOKUP(A14,Dataset!$A$1:$Y$40,14,0)</f>
        <v>61.5</v>
      </c>
      <c r="D14" s="12">
        <f>VLOOKUP(A14,Dataset!$A$1:$Y$40,18,0)</f>
        <v>40.1</v>
      </c>
      <c r="E14" s="12">
        <f>VLOOKUP(A14,Dataset!$A$1:$Y$40,20,0)</f>
        <v>76.599999999999994</v>
      </c>
      <c r="F14" s="8">
        <f>VLOOKUP(A14,Dataset!$A$1:$Y$40,22,0)</f>
        <v>40.1</v>
      </c>
    </row>
    <row r="15" spans="1:7" ht="14.4" x14ac:dyDescent="0.3">
      <c r="A15" s="7" t="s">
        <v>18</v>
      </c>
      <c r="B15" s="12">
        <f>VLOOKUP(A15,Dataset!$A$2:$G$40,7,0)</f>
        <v>26.8</v>
      </c>
      <c r="C15" s="12">
        <f>VLOOKUP(A15,Dataset!$A$1:$Y$40,14,0)</f>
        <v>79.599999999999994</v>
      </c>
      <c r="D15" s="12">
        <f>VLOOKUP(A15,Dataset!$A$1:$Y$40,18,0)</f>
        <v>47.9</v>
      </c>
      <c r="E15" s="12">
        <f>VLOOKUP(A15,Dataset!$A$1:$Y$40,20,0)</f>
        <v>96.8</v>
      </c>
      <c r="F15" s="8">
        <f>VLOOKUP(A15,Dataset!$A$1:$Y$40,22,0)</f>
        <v>47.9</v>
      </c>
    </row>
    <row r="16" spans="1:7" ht="14.4" x14ac:dyDescent="0.3">
      <c r="A16" s="7" t="s">
        <v>20</v>
      </c>
      <c r="B16" s="12">
        <f>VLOOKUP(A16,Dataset!$A$2:$G$40,7,0)</f>
        <v>28.5</v>
      </c>
      <c r="C16" s="12">
        <f>VLOOKUP(A16,Dataset!$A$1:$Y$40,14,0)</f>
        <v>85.4</v>
      </c>
      <c r="D16" s="12">
        <f>VLOOKUP(A16,Dataset!$A$1:$Y$40,18,0)</f>
        <v>52.3</v>
      </c>
      <c r="E16" s="12">
        <f>VLOOKUP(A16,Dataset!$A$1:$Y$40,20,0)</f>
        <v>106.1</v>
      </c>
      <c r="F16" s="8">
        <f>VLOOKUP(A16,Dataset!$A$1:$Y$40,22,0)</f>
        <v>52.3</v>
      </c>
    </row>
    <row r="17" spans="1:6" ht="14.4" x14ac:dyDescent="0.3">
      <c r="A17" s="7" t="s">
        <v>22</v>
      </c>
      <c r="B17" s="12">
        <f>VLOOKUP(A17,Dataset!$A$2:$G$40,7,0)</f>
        <v>30.7</v>
      </c>
      <c r="C17" s="12">
        <f>VLOOKUP(A17,Dataset!$A$1:$Y$40,14,0)</f>
        <v>92.1</v>
      </c>
      <c r="D17" s="12">
        <f>VLOOKUP(A17,Dataset!$A$1:$Y$40,18,0)</f>
        <v>57</v>
      </c>
      <c r="E17" s="12">
        <f>VLOOKUP(A17,Dataset!$A$1:$Y$40,20,0)</f>
        <v>115.1</v>
      </c>
      <c r="F17" s="8">
        <f>VLOOKUP(A17,Dataset!$A$1:$Y$40,22,0)</f>
        <v>57</v>
      </c>
    </row>
    <row r="18" spans="1:6" ht="14.4" x14ac:dyDescent="0.3">
      <c r="A18" s="7" t="s">
        <v>23</v>
      </c>
      <c r="B18" s="12">
        <f>VLOOKUP(A18,Dataset!$A$2:$G$40,7,0)</f>
        <v>33.799999999999997</v>
      </c>
      <c r="C18" s="12">
        <f>VLOOKUP(A18,Dataset!$A$1:$Y$40,14,0)</f>
        <v>101.3</v>
      </c>
      <c r="D18" s="12">
        <f>VLOOKUP(A18,Dataset!$A$1:$Y$40,18,0)</f>
        <v>61.4</v>
      </c>
      <c r="E18" s="12">
        <f>VLOOKUP(A18,Dataset!$A$1:$Y$40,20,0)</f>
        <v>124.4</v>
      </c>
      <c r="F18" s="8">
        <f>VLOOKUP(A18,Dataset!$A$1:$Y$40,22,0)</f>
        <v>61.4</v>
      </c>
    </row>
    <row r="19" spans="1:6" ht="14.4" x14ac:dyDescent="0.3">
      <c r="A19" s="7" t="s">
        <v>24</v>
      </c>
      <c r="B19" s="12">
        <f>VLOOKUP(A19,Dataset!$A$2:$G$40,7,0)</f>
        <v>34.700000000000003</v>
      </c>
      <c r="C19" s="12">
        <f>VLOOKUP(A19,Dataset!$A$1:$Y$40,14,0)</f>
        <v>106.1</v>
      </c>
      <c r="D19" s="12">
        <f>VLOOKUP(A19,Dataset!$A$1:$Y$40,18,0)</f>
        <v>63.6</v>
      </c>
      <c r="E19" s="12">
        <f>VLOOKUP(A19,Dataset!$A$1:$Y$40,20,0)</f>
        <v>128.6</v>
      </c>
      <c r="F19" s="8">
        <f>VLOOKUP(A19,Dataset!$A$1:$Y$40,22,0)</f>
        <v>63.6</v>
      </c>
    </row>
    <row r="20" spans="1:6" ht="14.4" x14ac:dyDescent="0.3">
      <c r="A20" s="7" t="s">
        <v>28</v>
      </c>
      <c r="B20" s="12">
        <f>VLOOKUP(A20,Dataset!$A$2:$G$40,7,0)</f>
        <v>0</v>
      </c>
      <c r="C20" s="12">
        <f>VLOOKUP(A20,Dataset!$A$1:$Y$40,14,0)</f>
        <v>0</v>
      </c>
      <c r="D20" s="12">
        <f>VLOOKUP(A20,Dataset!$A$1:$Y$40,18,0)</f>
        <v>0</v>
      </c>
      <c r="E20" s="12">
        <f>VLOOKUP(A20,Dataset!$A$1:$Y$40,20,0)</f>
        <v>0</v>
      </c>
      <c r="F20" s="8">
        <f>VLOOKUP(A20,Dataset!$A$1:$Y$40,22,0)</f>
        <v>0</v>
      </c>
    </row>
    <row r="21" spans="1:6" ht="14.4" x14ac:dyDescent="0.3">
      <c r="A21" s="7" t="s">
        <v>57</v>
      </c>
      <c r="B21" s="12">
        <f>VLOOKUP(A21,Dataset!$A$2:$G$40,7,0)</f>
        <v>41.3</v>
      </c>
      <c r="C21" s="12">
        <f>VLOOKUP(A21,Dataset!$A$1:$Y$40,14,0)</f>
        <v>124.4</v>
      </c>
      <c r="D21" s="12">
        <f>VLOOKUP(A21,Dataset!$A$1:$Y$40,18,0)</f>
        <v>75</v>
      </c>
      <c r="E21" s="12">
        <f>VLOOKUP(A21,Dataset!$A$1:$Y$40,20,0)</f>
        <v>151.5</v>
      </c>
      <c r="F21" s="8">
        <f>VLOOKUP(A21,Dataset!$A$1:$Y$40,22,0)</f>
        <v>75</v>
      </c>
    </row>
    <row r="22" spans="1:6" ht="14.4" x14ac:dyDescent="0.3">
      <c r="A22" s="7" t="s">
        <v>58</v>
      </c>
      <c r="B22" s="12">
        <f>VLOOKUP(A22,Dataset!$A$2:$G$40,7,0)</f>
        <v>-1</v>
      </c>
      <c r="C22" s="12">
        <f>VLOOKUP(A22,Dataset!$A$1:$Y$40,14,0)</f>
        <v>-1</v>
      </c>
      <c r="D22" s="12">
        <f>VLOOKUP(A22,Dataset!$A$1:$Y$40,18,0)</f>
        <v>-1</v>
      </c>
      <c r="E22" s="12">
        <f>VLOOKUP(A22,Dataset!$A$1:$Y$40,20,0)</f>
        <v>-1</v>
      </c>
      <c r="F22" s="8">
        <f>VLOOKUP(A22,Dataset!$A$1:$Y$40,22,0)</f>
        <v>-1</v>
      </c>
    </row>
    <row r="23" spans="1:6" ht="14.4" x14ac:dyDescent="0.3">
      <c r="A23" s="7" t="s">
        <v>31</v>
      </c>
      <c r="B23" s="12">
        <f>VLOOKUP(A23,Dataset!$A$2:$G$40,7,0)</f>
        <v>45</v>
      </c>
      <c r="C23" s="12">
        <f>VLOOKUP(A23,Dataset!$A$1:$Y$40,14,0)</f>
        <v>133.4</v>
      </c>
      <c r="D23" s="12">
        <f>VLOOKUP(A23,Dataset!$A$1:$Y$40,18,0)</f>
        <v>79.400000000000006</v>
      </c>
      <c r="E23" s="12">
        <f>VLOOKUP(A23,Dataset!$A$1:$Y$40,20,0)</f>
        <v>160.9</v>
      </c>
      <c r="F23" s="8">
        <f>VLOOKUP(A23,Dataset!$A$1:$Y$40,22,0)</f>
        <v>79.400000000000006</v>
      </c>
    </row>
    <row r="24" spans="1:6" ht="14.4" x14ac:dyDescent="0.3">
      <c r="A24" s="7" t="s">
        <v>32</v>
      </c>
      <c r="B24" s="12">
        <f>VLOOKUP(A24,Dataset!$A$2:$G$40,7,0)</f>
        <v>-1</v>
      </c>
      <c r="C24" s="12">
        <f>VLOOKUP(A24,Dataset!$A$1:$Y$40,14,0)</f>
        <v>-1</v>
      </c>
      <c r="D24" s="12">
        <f>VLOOKUP(A24,Dataset!$A$1:$Y$40,18,0)</f>
        <v>-1</v>
      </c>
      <c r="E24" s="12">
        <f>VLOOKUP(A24,Dataset!$A$1:$Y$40,20,0)</f>
        <v>-1</v>
      </c>
      <c r="F24" s="8">
        <f>VLOOKUP(A24,Dataset!$A$1:$Y$40,22,0)</f>
        <v>-1</v>
      </c>
    </row>
    <row r="25" spans="1:6" ht="14.4" x14ac:dyDescent="0.3">
      <c r="A25" s="7" t="s">
        <v>34</v>
      </c>
      <c r="B25" s="12">
        <f>VLOOKUP(A25,Dataset!$A$2:$G$40,7,0)</f>
        <v>43.3</v>
      </c>
      <c r="C25" s="12">
        <f>VLOOKUP(A25,Dataset!$A$1:$Y$40,14,0)</f>
        <v>128.6</v>
      </c>
      <c r="D25" s="12">
        <f>VLOOKUP(A25,Dataset!$A$1:$Y$40,18,0)</f>
        <v>79.400000000000006</v>
      </c>
      <c r="E25" s="12">
        <f>VLOOKUP(A25,Dataset!$A$1:$Y$40,20,0)</f>
        <v>160.9</v>
      </c>
      <c r="F25" s="8">
        <f>VLOOKUP(A25,Dataset!$A$1:$Y$40,22,0)</f>
        <v>79.400000000000006</v>
      </c>
    </row>
    <row r="26" spans="1:6" ht="14.4" x14ac:dyDescent="0.3">
      <c r="A26" s="7" t="s">
        <v>37</v>
      </c>
      <c r="B26" s="12">
        <f>VLOOKUP(A26,Dataset!$A$2:$G$40,7,0)</f>
        <v>49.1</v>
      </c>
      <c r="C26" s="12">
        <f>VLOOKUP(A26,Dataset!$A$1:$Y$40,14,0)</f>
        <v>146.80000000000001</v>
      </c>
      <c r="D26" s="12">
        <f>VLOOKUP(A26,Dataset!$A$1:$Y$40,18,0)</f>
        <v>90.9</v>
      </c>
      <c r="E26" s="12">
        <f>VLOOKUP(A26,Dataset!$A$1:$Y$40,20,0)</f>
        <v>183.5</v>
      </c>
      <c r="F26" s="8">
        <f>VLOOKUP(A26,Dataset!$A$1:$Y$40,22,0)</f>
        <v>90.9</v>
      </c>
    </row>
    <row r="27" spans="1:6" ht="14.4" x14ac:dyDescent="0.3">
      <c r="A27" s="7" t="s">
        <v>39</v>
      </c>
      <c r="B27" s="12">
        <f>VLOOKUP(A27,Dataset!$A$2:$G$40,7,0)</f>
        <v>51.8</v>
      </c>
      <c r="C27" s="12">
        <f>VLOOKUP(A27,Dataset!$A$1:$Y$40,14,0)</f>
        <v>156.4</v>
      </c>
      <c r="D27" s="12">
        <f>VLOOKUP(A27,Dataset!$A$1:$Y$40,18,0)</f>
        <v>93.1</v>
      </c>
      <c r="E27" s="12">
        <f>VLOOKUP(A27,Dataset!$A$1:$Y$40,20,0)</f>
        <v>188.1</v>
      </c>
      <c r="F27" s="8">
        <f>VLOOKUP(A27,Dataset!$A$1:$Y$40,22,0)</f>
        <v>93.1</v>
      </c>
    </row>
    <row r="28" spans="1:6" ht="14.4" x14ac:dyDescent="0.3">
      <c r="A28" s="32" t="s">
        <v>82</v>
      </c>
      <c r="B28" s="32">
        <f>MIN(B6:B27)</f>
        <v>-1</v>
      </c>
      <c r="C28" s="32">
        <f>MIN(C6:C27)</f>
        <v>-1</v>
      </c>
      <c r="D28" s="32">
        <f t="shared" ref="D28:F28" si="0">MIN(D6:D27)</f>
        <v>-1</v>
      </c>
      <c r="E28" s="32">
        <f t="shared" si="0"/>
        <v>-1</v>
      </c>
      <c r="F28" s="32">
        <f t="shared" si="0"/>
        <v>-1</v>
      </c>
    </row>
    <row r="29" spans="1:6" ht="14.4" x14ac:dyDescent="0.3">
      <c r="A29" s="32" t="s">
        <v>83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>MAX(E6:E27)</f>
        <v>188.1</v>
      </c>
      <c r="F29" s="32">
        <f t="shared" si="1"/>
        <v>93.1</v>
      </c>
    </row>
    <row r="30" spans="1:6" ht="14.4" x14ac:dyDescent="0.3">
      <c r="A30" s="32" t="s">
        <v>84</v>
      </c>
      <c r="B30" s="32">
        <f>AVERAGE(B6:B27)</f>
        <v>20.827272727272728</v>
      </c>
      <c r="C30" s="32">
        <f t="shared" ref="C30:E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16" sqref="C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154</v>
      </c>
      <c r="B6" s="48" t="s">
        <v>180</v>
      </c>
    </row>
    <row r="7" spans="1:10" ht="18" x14ac:dyDescent="0.35">
      <c r="A7" s="44"/>
      <c r="B7" s="41"/>
    </row>
    <row r="9" spans="1:10" ht="23.4" x14ac:dyDescent="0.45">
      <c r="A9" s="18" t="s">
        <v>166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2" t="s">
        <v>5</v>
      </c>
      <c r="D16" s="12">
        <v>0</v>
      </c>
      <c r="E16" s="12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168</v>
      </c>
    </row>
    <row r="2" spans="1:4" ht="18" x14ac:dyDescent="0.35">
      <c r="B2" s="41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 t="s">
        <v>182</v>
      </c>
    </row>
    <row r="7" spans="1:4" ht="14.4" x14ac:dyDescent="0.3">
      <c r="A7" s="3" t="s">
        <v>154</v>
      </c>
      <c r="B7" s="1" t="s">
        <v>181</v>
      </c>
    </row>
    <row r="10" spans="1:4" ht="23.4" x14ac:dyDescent="0.45">
      <c r="A10" s="18" t="s">
        <v>163</v>
      </c>
    </row>
    <row r="11" spans="1:4" ht="14.4" x14ac:dyDescent="0.3">
      <c r="A11" s="33" t="s">
        <v>86</v>
      </c>
      <c r="B11" s="17" t="s">
        <v>87</v>
      </c>
      <c r="C11" s="17" t="s">
        <v>88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49"/>
    </row>
    <row r="13" spans="1:4" ht="14.4" x14ac:dyDescent="0.3">
      <c r="A13" s="33">
        <v>44928</v>
      </c>
      <c r="B13" s="17" t="s">
        <v>60</v>
      </c>
      <c r="C13" s="17">
        <v>20</v>
      </c>
    </row>
    <row r="14" spans="1:4" ht="14.4" x14ac:dyDescent="0.3">
      <c r="A14" s="33">
        <v>44929</v>
      </c>
      <c r="B14" s="17" t="s">
        <v>61</v>
      </c>
      <c r="C14" s="17">
        <v>50</v>
      </c>
    </row>
    <row r="15" spans="1:4" ht="14.4" x14ac:dyDescent="0.3">
      <c r="A15" s="33">
        <v>44930</v>
      </c>
      <c r="B15" s="17" t="s">
        <v>62</v>
      </c>
      <c r="C15" s="17">
        <v>20</v>
      </c>
    </row>
    <row r="16" spans="1:4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155</v>
      </c>
      <c r="C17" s="17">
        <v>150</v>
      </c>
    </row>
    <row r="18" spans="1:3" ht="14.4" x14ac:dyDescent="0.3">
      <c r="A18" s="33">
        <v>44933</v>
      </c>
      <c r="B18" s="17" t="s">
        <v>156</v>
      </c>
      <c r="C18" s="17">
        <v>80</v>
      </c>
    </row>
    <row r="19" spans="1:3" ht="14.4" x14ac:dyDescent="0.3">
      <c r="A19" s="33">
        <v>44934</v>
      </c>
      <c r="B19" s="17" t="s">
        <v>157</v>
      </c>
      <c r="C19" s="17">
        <v>20</v>
      </c>
    </row>
    <row r="20" spans="1:3" ht="14.4" x14ac:dyDescent="0.3">
      <c r="A20" s="33">
        <v>44935</v>
      </c>
      <c r="B20" s="17" t="s">
        <v>158</v>
      </c>
      <c r="C20" s="17">
        <v>30</v>
      </c>
    </row>
    <row r="21" spans="1:3" ht="14.4" x14ac:dyDescent="0.3">
      <c r="A21" s="33">
        <v>44936</v>
      </c>
      <c r="B21" s="17" t="s">
        <v>159</v>
      </c>
      <c r="C21" s="17">
        <v>20</v>
      </c>
    </row>
    <row r="22" spans="1:3" ht="14.4" x14ac:dyDescent="0.3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176</v>
      </c>
    </row>
    <row r="3" spans="1:14" ht="14.4" x14ac:dyDescent="0.3">
      <c r="B3" s="1" t="s">
        <v>152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919922042036</cp:lastModifiedBy>
  <dcterms:created xsi:type="dcterms:W3CDTF">2015-02-10T17:33:11Z</dcterms:created>
  <dcterms:modified xsi:type="dcterms:W3CDTF">2023-12-10T12:41:58Z</dcterms:modified>
</cp:coreProperties>
</file>